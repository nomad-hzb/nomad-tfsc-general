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Format: DD-MM-YYYY</t>
        </r>
      </text>
    </comment>
    <comment ref="G2" authorId="0">
      <text>
        <r>
          <rPr>
            <sz val="10"/>
            <rFont val="Arial"/>
            <family val="2"/>
          </rPr>
          <t xml:space="preserve">Describe the main variation parameter for this sample</t>
        </r>
      </text>
    </comment>
    <comment ref="I2" authorId="0">
      <text>
        <r>
          <rPr>
            <sz val="10"/>
            <rFont val="Arial"/>
            <family val="2"/>
          </rPr>
          <t xml:space="preserve">Total area of the substrate</t>
        </r>
      </text>
    </comment>
    <comment ref="J2" authorId="0">
      <text>
        <r>
          <rPr>
            <sz val="10"/>
            <rFont val="Arial"/>
            <family val="2"/>
          </rPr>
          <t xml:space="preserve">Number of individual solar cell pixels on the substrate</t>
        </r>
      </text>
    </comment>
    <comment ref="K2" authorId="0">
      <text>
        <r>
          <rPr>
            <sz val="10"/>
            <rFont val="Arial"/>
            <family val="2"/>
          </rPr>
          <t xml:space="preserve">Active area of each individual pixel</t>
        </r>
      </text>
    </comment>
    <comment ref="W2" authorId="0">
      <text>
        <r>
          <rPr>
            <sz val="10"/>
            <rFont val="Arial"/>
            <family val="2"/>
          </rPr>
          <t xml:space="preserve">Chemical formula or material name</t>
        </r>
      </text>
    </comment>
    <comment ref="X2" authorId="0">
      <text>
        <r>
          <rPr>
            <sz val="10"/>
            <rFont val="Arial"/>
            <family val="2"/>
          </rPr>
          <t xml:space="preserve">Select layer function from dropdown</t>
        </r>
      </text>
    </comment>
    <comment ref="AI2" authorId="0">
      <text>
        <r>
          <rPr>
            <sz val="10"/>
            <rFont val="Arial"/>
            <family val="2"/>
          </rPr>
          <t xml:space="preserve">Select filter material or type custom</t>
        </r>
      </text>
    </comment>
    <comment ref="AP2" authorId="0">
      <text>
        <r>
          <rPr>
            <sz val="10"/>
            <rFont val="Arial"/>
            <family val="2"/>
          </rPr>
          <t xml:space="preserve">Screen mesh material type</t>
        </r>
      </text>
    </comment>
    <comment ref="AQ2" authorId="0">
      <text>
        <r>
          <rPr>
            <sz val="10"/>
            <rFont val="Arial"/>
            <family val="2"/>
          </rPr>
          <t xml:space="preserve">Number of mesh openings per centimeter</t>
        </r>
      </text>
    </comment>
    <comment ref="AR2" authorId="0">
      <text>
        <r>
          <rPr>
            <sz val="10"/>
            <rFont val="Arial"/>
            <family val="2"/>
          </rPr>
          <t xml:space="preserve">Thickness of the mesh fabric</t>
        </r>
      </text>
    </comment>
    <comment ref="AS2" authorId="0">
      <text>
        <r>
          <rPr>
            <sz val="10"/>
            <rFont val="Arial"/>
            <family val="2"/>
          </rPr>
          <t xml:space="preserve">Diameter of individual mesh threads</t>
        </r>
      </text>
    </comment>
    <comment ref="AT2" authorId="0">
      <text>
        <r>
          <rPr>
            <sz val="10"/>
            <rFont val="Arial"/>
            <family val="2"/>
          </rPr>
          <t xml:space="preserve">Size of individual mesh openings</t>
        </r>
      </text>
    </comment>
    <comment ref="AU2" authorId="0">
      <text>
        <r>
          <rPr>
            <sz val="10"/>
            <rFont val="Arial"/>
            <family val="2"/>
          </rPr>
          <t xml:space="preserve">Applied tension on the mesh during printing</t>
        </r>
      </text>
    </comment>
    <comment ref="AV2" authorId="0">
      <text>
        <r>
          <rPr>
            <sz val="10"/>
            <rFont val="Arial"/>
            <family val="2"/>
          </rPr>
          <t xml:space="preserve">Angle of mesh relative to printing direction</t>
        </r>
      </text>
    </comment>
    <comment ref="AW2" authorId="0">
      <text>
        <r>
          <rPr>
            <sz val="10"/>
            <rFont val="Arial"/>
            <family val="2"/>
          </rPr>
          <t xml:space="preserve">Type of emulsion used for stencil</t>
        </r>
      </text>
    </comment>
    <comment ref="AX2" authorId="0">
      <text>
        <r>
          <rPr>
            <sz val="10"/>
            <rFont val="Arial"/>
            <family val="2"/>
          </rPr>
          <t xml:space="preserve">Thickness of the emulsion layer</t>
        </r>
      </text>
    </comment>
    <comment ref="AY2" authorId="0">
      <text>
        <r>
          <rPr>
            <sz val="10"/>
            <rFont val="Arial"/>
            <family val="2"/>
          </rPr>
          <t xml:space="preserve">Material of the squeegee blade</t>
        </r>
      </text>
    </comment>
    <comment ref="AZ2" authorId="0">
      <text>
        <r>
          <rPr>
            <sz val="10"/>
            <rFont val="Arial"/>
            <family val="2"/>
          </rPr>
          <t xml:space="preserve">Cross-sectional shape of squeegee</t>
        </r>
      </text>
    </comment>
    <comment ref="BA2" authorId="0">
      <text>
        <r>
          <rPr>
            <sz val="10"/>
            <rFont val="Arial"/>
            <family val="2"/>
          </rPr>
          <t xml:space="preserve">Angle of squeegee relative to screen surface</t>
        </r>
      </text>
    </comment>
    <comment ref="BB2" authorId="0">
      <text>
        <r>
          <rPr>
            <sz val="10"/>
            <rFont val="Arial"/>
            <family val="2"/>
          </rPr>
          <t xml:space="preserve">Speed of squeegee movement during printing</t>
        </r>
      </text>
    </comment>
    <comment ref="BC2" authorId="0">
      <text>
        <r>
          <rPr>
            <sz val="10"/>
            <rFont val="Arial"/>
            <family val="2"/>
          </rPr>
          <t xml:space="preserve">Forward or Backward</t>
        </r>
      </text>
    </comment>
    <comment ref="BD2" authorId="0">
      <text>
        <r>
          <rPr>
            <sz val="10"/>
            <rFont val="Arial"/>
            <family val="2"/>
          </rPr>
          <t xml:space="preserve">Applied pressure during printing stroke</t>
        </r>
      </text>
    </comment>
    <comment ref="BE2" authorId="0">
      <text>
        <r>
          <rPr>
            <sz val="10"/>
            <rFont val="Arial"/>
            <family val="2"/>
          </rPr>
          <t xml:space="preserve">Gap between screen and substrate during printing</t>
        </r>
      </text>
    </comment>
    <comment ref="BF2" authorId="0">
      <text>
        <r>
          <rPr>
            <sz val="10"/>
            <rFont val="Arial"/>
            <family val="2"/>
          </rPr>
          <t xml:space="preserve">R2R or S2S</t>
        </r>
      </text>
    </comment>
  </commentList>
</comments>
</file>

<file path=xl/sharedStrings.xml><?xml version="1.0" encoding="utf-8"?>
<sst xmlns="http://schemas.openxmlformats.org/spreadsheetml/2006/main" count="93" uniqueCount="88">
  <si>
    <t xml:space="preserve">Experiment Info</t>
  </si>
  <si>
    <t xml:space="preserve">1: Cleaning/Activation Corona</t>
  </si>
  <si>
    <t xml:space="preserve">2: Screen Printing</t>
  </si>
  <si>
    <t xml:space="preserve">Date</t>
  </si>
  <si>
    <t xml:space="preserve">Project_Name</t>
  </si>
  <si>
    <t xml:space="preserve">Batch</t>
  </si>
  <si>
    <t xml:space="preserve">Subbatch</t>
  </si>
  <si>
    <t xml:space="preserve">Sample</t>
  </si>
  <si>
    <t xml:space="preserve">Nomad ID</t>
  </si>
  <si>
    <t xml:space="preserve">Variation</t>
  </si>
  <si>
    <t xml:space="preserve">Sample dimension</t>
  </si>
  <si>
    <t xml:space="preserve">Sample area [cm^2]</t>
  </si>
  <si>
    <t xml:space="preserve">Number of pixels</t>
  </si>
  <si>
    <t xml:space="preserve">Pixel area [cm^2]</t>
  </si>
  <si>
    <t xml:space="preserve">Substrate material</t>
  </si>
  <si>
    <t xml:space="preserve">Substrate conductive layer</t>
  </si>
  <si>
    <t xml:space="preserve">Transmission [%]</t>
  </si>
  <si>
    <t xml:space="preserve">Sheet Resistance [Ohms/square]</t>
  </si>
  <si>
    <t xml:space="preserve">TCO thickness [nm]</t>
  </si>
  <si>
    <t xml:space="preserve">Number of junctions</t>
  </si>
  <si>
    <t xml:space="preserve">Notes</t>
  </si>
  <si>
    <t xml:space="preserve">Corona Time [s]</t>
  </si>
  <si>
    <t xml:space="preserve">Corona Power [W]</t>
  </si>
  <si>
    <t xml:space="preserve">Tool/GB name</t>
  </si>
  <si>
    <t xml:space="preserve">Material name</t>
  </si>
  <si>
    <t xml:space="preserve">Layer type</t>
  </si>
  <si>
    <t xml:space="preserve">Layer thickness [nm]</t>
  </si>
  <si>
    <t xml:space="preserve">Morphology</t>
  </si>
  <si>
    <t xml:space="preserve">Viscosity [mPa*s]</t>
  </si>
  <si>
    <t xml:space="preserve">Contact angle [°]</t>
  </si>
  <si>
    <t xml:space="preserve">Room temperature [°C]</t>
  </si>
  <si>
    <t xml:space="preserve">Room/GB humidity [%]</t>
  </si>
  <si>
    <t xml:space="preserve">GB oxygen level [ppm]</t>
  </si>
  <si>
    <t xml:space="preserve">Solution volume [uL]</t>
  </si>
  <si>
    <t xml:space="preserve">Filter Material</t>
  </si>
  <si>
    <t xml:space="preserve">Filter Pore Size [um]</t>
  </si>
  <si>
    <t xml:space="preserve">Solvent 1 name</t>
  </si>
  <si>
    <t xml:space="preserve">Solvent 1 volume [uL]</t>
  </si>
  <si>
    <t xml:space="preserve">Solvent 1 relative amount</t>
  </si>
  <si>
    <t xml:space="preserve">Solute 1 name</t>
  </si>
  <si>
    <t xml:space="preserve">Solute 1 Concentration [mM]</t>
  </si>
  <si>
    <t xml:space="preserve">Mesh material</t>
  </si>
  <si>
    <t xml:space="preserve">Mesh count [meshes/cm]</t>
  </si>
  <si>
    <t xml:space="preserve">Mesh thickness [um]</t>
  </si>
  <si>
    <t xml:space="preserve">Thread diameter [um]</t>
  </si>
  <si>
    <t xml:space="preserve">Mesh opening [um]</t>
  </si>
  <si>
    <t xml:space="preserve">Mesh tension [N/cm]</t>
  </si>
  <si>
    <t xml:space="preserve">Mesh angle [°]</t>
  </si>
  <si>
    <t xml:space="preserve">Emulsion material</t>
  </si>
  <si>
    <t xml:space="preserve">Emulsion thickness [um]</t>
  </si>
  <si>
    <t xml:space="preserve">Squeegee material</t>
  </si>
  <si>
    <t xml:space="preserve">Squeegee shape</t>
  </si>
  <si>
    <t xml:space="preserve">Squeegee angle [°]</t>
  </si>
  <si>
    <t xml:space="preserve">Printing speed [mm/s]</t>
  </si>
  <si>
    <t xml:space="preserve">Printing direction</t>
  </si>
  <si>
    <t xml:space="preserve">Printing pressure [bar]</t>
  </si>
  <si>
    <t xml:space="preserve">Snap-off distance [mm]</t>
  </si>
  <si>
    <t xml:space="preserve">Printing method</t>
  </si>
  <si>
    <t xml:space="preserve">Annealing time [min]</t>
  </si>
  <si>
    <t xml:space="preserve">Annealing temperature [°C]</t>
  </si>
  <si>
    <t xml:space="preserve">Annealing atmosphere</t>
  </si>
  <si>
    <t xml:space="preserve">IR annealing power [W]</t>
  </si>
  <si>
    <t xml:space="preserve">IR annealing distance [mm]</t>
  </si>
  <si>
    <t xml:space="preserve">21-05-2025</t>
  </si>
  <si>
    <t xml:space="preserve">Project</t>
  </si>
  <si>
    <t xml:space="preserve">1</t>
  </si>
  <si>
    <t xml:space="preserve">1000 rpm</t>
  </si>
  <si>
    <t xml:space="preserve">1 cm x 1 cm</t>
  </si>
  <si>
    <t xml:space="preserve">Soda Lime Glass</t>
  </si>
  <si>
    <t xml:space="preserve">ITO</t>
  </si>
  <si>
    <t xml:space="preserve">Experiment Notes</t>
  </si>
  <si>
    <t xml:space="preserve">Corona tool</t>
  </si>
  <si>
    <t xml:space="preserve">Corona cleaning notes</t>
  </si>
  <si>
    <t xml:space="preserve">Cs0.05(MA0.17FA0.83)0.95Pb(I0.83Br0.17)3</t>
  </si>
  <si>
    <t xml:space="preserve">Absorber Layer</t>
  </si>
  <si>
    <t xml:space="preserve">Uniform</t>
  </si>
  <si>
    <t xml:space="preserve">Batch supplier-ID-Opened at-remaining shelf life</t>
  </si>
  <si>
    <t xml:space="preserve">Loc Box</t>
  </si>
  <si>
    <t xml:space="preserve">PTFE</t>
  </si>
  <si>
    <t xml:space="preserve">DMF</t>
  </si>
  <si>
    <t xml:space="preserve">PbI2</t>
  </si>
  <si>
    <t xml:space="preserve">Polyester</t>
  </si>
  <si>
    <t xml:space="preserve">Photopolymer</t>
  </si>
  <si>
    <t xml:space="preserve">Polyurethane</t>
  </si>
  <si>
    <t xml:space="preserve">Rectangle</t>
  </si>
  <si>
    <t xml:space="preserve">Forward</t>
  </si>
  <si>
    <t xml:space="preserve">R2R</t>
  </si>
  <si>
    <t xml:space="preserve">N2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</si>
</sst>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77B4"/>
        <bgColor rgb="FF008080"/>
      </patternFill>
    </fill>
    <fill>
      <patternFill patternType="solid">
        <fgColor rgb="FFFF7F0E"/>
        <bgColor rgb="FFFF9900"/>
      </patternFill>
    </fill>
    <fill>
      <patternFill patternType="solid">
        <fgColor rgb="FF2CA02C"/>
        <bgColor rgb="FF008000"/>
      </patternFill>
    </fill>
    <fill>
      <patternFill patternType="solid">
        <fgColor rgb="FF8FBBD9"/>
        <bgColor rgb="FF95CF95"/>
      </patternFill>
    </fill>
    <fill>
      <patternFill patternType="solid">
        <fgColor rgb="FFFFBF86"/>
        <bgColor rgb="FFFF99CC"/>
      </patternFill>
    </fill>
    <fill>
      <patternFill patternType="solid">
        <fgColor rgb="FF95CF95"/>
        <bgColor rgb="FF8FBB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5CF95"/>
      <rgbColor rgb="FF808080"/>
      <rgbColor rgb="FF9999FF"/>
      <rgbColor rgb="FF993366"/>
      <rgbColor rgb="FFFFFFCC"/>
      <rgbColor rgb="FFCCFFFF"/>
      <rgbColor rgb="FF660066"/>
      <rgbColor rgb="FFFF8080"/>
      <rgbColor rgb="FF1F77B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FBBD9"/>
      <rgbColor rgb="FFFF99CC"/>
      <rgbColor rgb="FFCC99FF"/>
      <rgbColor rgb="FFFFBF86"/>
      <rgbColor rgb="FF3366FF"/>
      <rgbColor rgb="FF33CCCC"/>
      <rgbColor rgb="FF99CC00"/>
      <rgbColor rgb="FFFFCC00"/>
      <rgbColor rgb="FFFF9900"/>
      <rgbColor rgb="FFFF7F0E"/>
      <rgbColor rgb="FF666699"/>
      <rgbColor rgb="FF969696"/>
      <rgbColor rgb="FF003366"/>
      <rgbColor rgb="FF2CA02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4: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14"/>
    <col collapsed="false" customWidth="true" hidden="false" outlineLevel="0" max="3" min="3" style="1" width="7"/>
    <col collapsed="false" customWidth="true" hidden="false" outlineLevel="0" max="4" min="4" style="1" width="10"/>
    <col collapsed="false" customWidth="true" hidden="false" outlineLevel="0" max="5" min="5" style="1" width="8"/>
    <col collapsed="false" customWidth="true" hidden="false" outlineLevel="0" max="6" min="6" style="1" width="49"/>
    <col collapsed="false" customWidth="true" hidden="false" outlineLevel="0" max="7" min="7" style="1" width="11"/>
    <col collapsed="false" customWidth="true" hidden="false" outlineLevel="0" max="8" min="8" style="1" width="18"/>
    <col collapsed="false" customWidth="true" hidden="false" outlineLevel="0" max="9" min="9" style="1" width="20"/>
    <col collapsed="false" customWidth="true" hidden="false" outlineLevel="0" max="10" min="10" style="1" width="18"/>
    <col collapsed="false" customWidth="true" hidden="false" outlineLevel="0" max="11" min="11" style="1" width="19"/>
    <col collapsed="false" customWidth="true" hidden="false" outlineLevel="0" max="12" min="12" style="1" width="20"/>
    <col collapsed="false" customWidth="true" hidden="false" outlineLevel="0" max="13" min="13" style="1" width="28"/>
    <col collapsed="false" customWidth="true" hidden="false" outlineLevel="0" max="14" min="14" style="1" width="18"/>
    <col collapsed="false" customWidth="true" hidden="false" outlineLevel="0" max="15" min="15" style="1" width="32"/>
    <col collapsed="false" customWidth="true" hidden="false" outlineLevel="0" max="16" min="16" style="1" width="20"/>
    <col collapsed="false" customWidth="true" hidden="false" outlineLevel="0" max="17" min="17" style="1" width="21"/>
    <col collapsed="false" customWidth="true" hidden="false" outlineLevel="0" max="18" min="18" style="1" width="18"/>
    <col collapsed="false" customWidth="true" hidden="false" outlineLevel="0" max="19" min="19" style="1" width="31"/>
    <col collapsed="false" customWidth="true" hidden="false" outlineLevel="0" max="20" min="20" style="1" width="18"/>
    <col collapsed="false" customWidth="true" hidden="false" outlineLevel="0" max="21" min="21" style="1" width="14"/>
    <col collapsed="false" customWidth="true" hidden="false" outlineLevel="0" max="22" min="22" style="1" width="23"/>
    <col collapsed="false" customWidth="true" hidden="false" outlineLevel="0" max="23" min="23" style="1" width="42"/>
    <col collapsed="false" customWidth="true" hidden="false" outlineLevel="0" max="24" min="24" style="1" width="16"/>
    <col collapsed="false" customWidth="true" hidden="false" outlineLevel="0" max="25" min="25" style="1" width="22"/>
    <col collapsed="false" customWidth="true" hidden="false" outlineLevel="0" max="26" min="26" style="1" width="12"/>
    <col collapsed="false" customWidth="true" hidden="false" outlineLevel="0" max="27" min="27" style="1" width="50"/>
    <col collapsed="false" customWidth="true" hidden="false" outlineLevel="0" max="28" min="28" style="1" width="14"/>
    <col collapsed="false" customWidth="true" hidden="false" outlineLevel="0" max="30" min="29" style="1" width="19"/>
    <col collapsed="false" customWidth="true" hidden="false" outlineLevel="0" max="31" min="31" style="1" width="23"/>
    <col collapsed="false" customWidth="true" hidden="false" outlineLevel="0" max="32" min="32" style="1" width="22"/>
    <col collapsed="false" customWidth="true" hidden="false" outlineLevel="0" max="33" min="33" style="1" width="23"/>
    <col collapsed="false" customWidth="true" hidden="false" outlineLevel="0" max="34" min="34" style="1" width="22"/>
    <col collapsed="false" customWidth="true" hidden="false" outlineLevel="0" max="35" min="35" style="1" width="17"/>
    <col collapsed="false" customWidth="true" hidden="false" outlineLevel="0" max="36" min="36" style="1" width="23"/>
    <col collapsed="false" customWidth="true" hidden="false" outlineLevel="0" max="37" min="37" style="1" width="16"/>
    <col collapsed="false" customWidth="true" hidden="false" outlineLevel="0" max="38" min="38" style="1" width="23"/>
    <col collapsed="false" customWidth="true" hidden="false" outlineLevel="0" max="39" min="39" style="1" width="27"/>
    <col collapsed="false" customWidth="true" hidden="false" outlineLevel="0" max="40" min="40" style="1" width="15"/>
    <col collapsed="false" customWidth="true" hidden="false" outlineLevel="0" max="41" min="41" style="1" width="29"/>
    <col collapsed="false" customWidth="true" hidden="false" outlineLevel="0" max="42" min="42" style="1" width="15"/>
    <col collapsed="false" customWidth="true" hidden="false" outlineLevel="0" max="43" min="43" style="1" width="24"/>
    <col collapsed="false" customWidth="true" hidden="false" outlineLevel="0" max="44" min="44" style="1" width="21"/>
    <col collapsed="false" customWidth="true" hidden="false" outlineLevel="0" max="45" min="45" style="1" width="22"/>
    <col collapsed="false" customWidth="true" hidden="false" outlineLevel="0" max="46" min="46" style="1" width="19"/>
    <col collapsed="false" customWidth="true" hidden="false" outlineLevel="0" max="47" min="47" style="1" width="21"/>
    <col collapsed="false" customWidth="true" hidden="false" outlineLevel="0" max="48" min="48" style="1" width="16"/>
    <col collapsed="false" customWidth="true" hidden="false" outlineLevel="0" max="49" min="49" style="1" width="19"/>
    <col collapsed="false" customWidth="true" hidden="false" outlineLevel="0" max="50" min="50" style="1" width="25"/>
    <col collapsed="false" customWidth="true" hidden="false" outlineLevel="0" max="51" min="51" style="1" width="19"/>
    <col collapsed="false" customWidth="true" hidden="false" outlineLevel="0" max="52" min="52" style="1" width="16"/>
    <col collapsed="false" customWidth="true" hidden="false" outlineLevel="0" max="53" min="53" style="1" width="20"/>
    <col collapsed="false" customWidth="true" hidden="false" outlineLevel="0" max="54" min="54" style="1" width="23"/>
    <col collapsed="false" customWidth="true" hidden="false" outlineLevel="0" max="55" min="55" style="1" width="20"/>
    <col collapsed="false" customWidth="true" hidden="false" outlineLevel="0" max="56" min="56" style="1" width="25"/>
    <col collapsed="false" customWidth="true" hidden="false" outlineLevel="0" max="57" min="57" style="1" width="24"/>
    <col collapsed="false" customWidth="true" hidden="false" outlineLevel="0" max="58" min="58" style="1" width="17"/>
    <col collapsed="false" customWidth="true" hidden="false" outlineLevel="0" max="59" min="59" style="1" width="22"/>
    <col collapsed="false" customWidth="true" hidden="false" outlineLevel="0" max="60" min="60" style="1" width="28"/>
    <col collapsed="false" customWidth="true" hidden="false" outlineLevel="0" max="61" min="61" style="1" width="22"/>
    <col collapsed="false" customWidth="true" hidden="false" outlineLevel="0" max="62" min="62" style="1" width="24"/>
    <col collapsed="false" customWidth="true" hidden="false" outlineLevel="0" max="63" min="63" style="1" width="28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 t="s">
        <v>1</v>
      </c>
      <c r="T1" s="3"/>
      <c r="U1" s="3"/>
      <c r="V1" s="3"/>
      <c r="W1" s="4" t="s">
        <v>2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</row>
    <row r="2" customFormat="false" ht="15" hidden="false" customHeight="false" outlineLevel="0" collapsed="false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6" t="s">
        <v>21</v>
      </c>
      <c r="T2" s="6" t="s">
        <v>22</v>
      </c>
      <c r="U2" s="6" t="s">
        <v>23</v>
      </c>
      <c r="V2" s="6" t="s">
        <v>20</v>
      </c>
      <c r="W2" s="7" t="s">
        <v>24</v>
      </c>
      <c r="X2" s="7" t="s">
        <v>25</v>
      </c>
      <c r="Y2" s="7" t="s">
        <v>26</v>
      </c>
      <c r="Z2" s="7" t="s">
        <v>27</v>
      </c>
      <c r="AA2" s="7" t="s">
        <v>20</v>
      </c>
      <c r="AB2" s="7" t="s">
        <v>23</v>
      </c>
      <c r="AC2" s="7" t="s">
        <v>28</v>
      </c>
      <c r="AD2" s="7" t="s">
        <v>29</v>
      </c>
      <c r="AE2" s="7" t="s">
        <v>30</v>
      </c>
      <c r="AF2" s="7" t="s">
        <v>31</v>
      </c>
      <c r="AG2" s="7" t="s">
        <v>32</v>
      </c>
      <c r="AH2" s="7" t="s">
        <v>33</v>
      </c>
      <c r="AI2" s="7" t="s">
        <v>34</v>
      </c>
      <c r="AJ2" s="7" t="s">
        <v>35</v>
      </c>
      <c r="AK2" s="7" t="s">
        <v>36</v>
      </c>
      <c r="AL2" s="7" t="s">
        <v>37</v>
      </c>
      <c r="AM2" s="7" t="s">
        <v>38</v>
      </c>
      <c r="AN2" s="7" t="s">
        <v>39</v>
      </c>
      <c r="AO2" s="7" t="s">
        <v>40</v>
      </c>
      <c r="AP2" s="7" t="s">
        <v>41</v>
      </c>
      <c r="AQ2" s="7" t="s">
        <v>42</v>
      </c>
      <c r="AR2" s="7" t="s">
        <v>43</v>
      </c>
      <c r="AS2" s="7" t="s">
        <v>44</v>
      </c>
      <c r="AT2" s="7" t="s">
        <v>45</v>
      </c>
      <c r="AU2" s="7" t="s">
        <v>46</v>
      </c>
      <c r="AV2" s="7" t="s">
        <v>47</v>
      </c>
      <c r="AW2" s="7" t="s">
        <v>48</v>
      </c>
      <c r="AX2" s="7" t="s">
        <v>49</v>
      </c>
      <c r="AY2" s="7" t="s">
        <v>50</v>
      </c>
      <c r="AZ2" s="7" t="s">
        <v>51</v>
      </c>
      <c r="BA2" s="7" t="s">
        <v>52</v>
      </c>
      <c r="BB2" s="7" t="s">
        <v>53</v>
      </c>
      <c r="BC2" s="7" t="s">
        <v>54</v>
      </c>
      <c r="BD2" s="7" t="s">
        <v>55</v>
      </c>
      <c r="BE2" s="7" t="s">
        <v>56</v>
      </c>
      <c r="BF2" s="7" t="s">
        <v>57</v>
      </c>
      <c r="BG2" s="7" t="s">
        <v>58</v>
      </c>
      <c r="BH2" s="7" t="s">
        <v>59</v>
      </c>
      <c r="BI2" s="7" t="s">
        <v>60</v>
      </c>
      <c r="BJ2" s="7" t="s">
        <v>61</v>
      </c>
      <c r="BK2" s="7" t="s">
        <v>62</v>
      </c>
    </row>
    <row r="3" customFormat="false" ht="15" hidden="false" customHeight="false" outlineLevel="0" collapsed="false">
      <c r="A3" s="1" t="s">
        <v>63</v>
      </c>
      <c r="B3" s="1" t="s">
        <v>64</v>
      </c>
      <c r="C3" s="1" t="s">
        <v>65</v>
      </c>
      <c r="D3" s="1" t="s">
        <v>65</v>
      </c>
      <c r="E3" s="1" t="s">
        <v>65</v>
      </c>
      <c r="F3" s="1" t="str">
        <f aca="false">CONCATENATE("PERS_",B3,"_",C3,"_",D3,"_C-",E3)</f>
        <v>PERS_Project_1_1_C-1</v>
      </c>
      <c r="G3" s="1" t="s">
        <v>66</v>
      </c>
      <c r="H3" s="1" t="s">
        <v>67</v>
      </c>
      <c r="I3" s="1" t="n">
        <v>0.16</v>
      </c>
      <c r="J3" s="1" t="n">
        <v>6</v>
      </c>
      <c r="K3" s="1" t="n">
        <v>0.16</v>
      </c>
      <c r="L3" s="1" t="s">
        <v>68</v>
      </c>
      <c r="M3" s="1" t="s">
        <v>69</v>
      </c>
      <c r="N3" s="1" t="n">
        <v>90</v>
      </c>
      <c r="O3" s="1" t="n">
        <v>10</v>
      </c>
      <c r="P3" s="1" t="n">
        <v>150</v>
      </c>
      <c r="Q3" s="1" t="n">
        <v>1</v>
      </c>
      <c r="R3" s="1" t="s">
        <v>70</v>
      </c>
      <c r="S3" s="1" t="n">
        <v>5</v>
      </c>
      <c r="T3" s="1" t="n">
        <v>50</v>
      </c>
      <c r="U3" s="1" t="s">
        <v>71</v>
      </c>
      <c r="V3" s="1" t="s">
        <v>72</v>
      </c>
      <c r="W3" s="1" t="s">
        <v>73</v>
      </c>
      <c r="X3" s="8" t="s">
        <v>74</v>
      </c>
      <c r="Y3" s="1" t="n">
        <v>15</v>
      </c>
      <c r="Z3" s="8" t="s">
        <v>75</v>
      </c>
      <c r="AA3" s="8" t="s">
        <v>76</v>
      </c>
      <c r="AB3" s="8" t="s">
        <v>77</v>
      </c>
      <c r="AC3" s="1" t="n">
        <v>0.5</v>
      </c>
      <c r="AD3" s="1" t="n">
        <v>30</v>
      </c>
      <c r="AE3" s="1" t="n">
        <v>23</v>
      </c>
      <c r="AF3" s="1" t="n">
        <v>45</v>
      </c>
      <c r="AG3" s="1" t="n">
        <v>10</v>
      </c>
      <c r="AH3" s="1" t="n">
        <v>100</v>
      </c>
      <c r="AI3" s="8" t="s">
        <v>78</v>
      </c>
      <c r="AJ3" s="1" t="n">
        <v>0.25</v>
      </c>
      <c r="AK3" s="8" t="s">
        <v>79</v>
      </c>
      <c r="AL3" s="1" t="n">
        <v>10</v>
      </c>
      <c r="AM3" s="1" t="n">
        <v>1.5</v>
      </c>
      <c r="AN3" s="8" t="s">
        <v>80</v>
      </c>
      <c r="AO3" s="1" t="n">
        <v>1.42</v>
      </c>
      <c r="AP3" s="8" t="s">
        <v>81</v>
      </c>
      <c r="AQ3" s="1" t="n">
        <v>120</v>
      </c>
      <c r="AR3" s="1" t="n">
        <v>50</v>
      </c>
      <c r="AS3" s="1" t="n">
        <v>34</v>
      </c>
      <c r="AT3" s="1" t="n">
        <v>49</v>
      </c>
      <c r="AU3" s="1" t="n">
        <v>20</v>
      </c>
      <c r="AV3" s="1" t="n">
        <v>22.5</v>
      </c>
      <c r="AW3" s="8" t="s">
        <v>82</v>
      </c>
      <c r="AX3" s="1" t="n">
        <v>15</v>
      </c>
      <c r="AY3" s="8" t="s">
        <v>83</v>
      </c>
      <c r="AZ3" s="8" t="s">
        <v>84</v>
      </c>
      <c r="BA3" s="1" t="n">
        <v>75</v>
      </c>
      <c r="BB3" s="1" t="n">
        <v>50</v>
      </c>
      <c r="BC3" s="8" t="s">
        <v>85</v>
      </c>
      <c r="BD3" s="1" t="n">
        <v>2.5</v>
      </c>
      <c r="BE3" s="1" t="n">
        <v>1.5</v>
      </c>
      <c r="BF3" s="8" t="s">
        <v>86</v>
      </c>
      <c r="BG3" s="1" t="n">
        <v>30</v>
      </c>
      <c r="BH3" s="1" t="n">
        <v>120</v>
      </c>
      <c r="BI3" s="8" t="s">
        <v>87</v>
      </c>
      <c r="BJ3" s="1" t="n">
        <v>100</v>
      </c>
      <c r="BK3" s="1" t="n">
        <v>50</v>
      </c>
    </row>
    <row r="4" customFormat="false" ht="15" hidden="false" customHeight="false" outlineLevel="0" collapsed="false">
      <c r="X4" s="8"/>
      <c r="Z4" s="8"/>
      <c r="AA4" s="8"/>
      <c r="AB4" s="8"/>
      <c r="AI4" s="8"/>
      <c r="AK4" s="8"/>
      <c r="AN4" s="8"/>
      <c r="AP4" s="8"/>
      <c r="AW4" s="8"/>
      <c r="AY4" s="8"/>
      <c r="AZ4" s="8"/>
      <c r="BC4" s="8"/>
      <c r="BF4" s="8"/>
      <c r="BI4" s="8"/>
    </row>
  </sheetData>
  <mergeCells count="3">
    <mergeCell ref="A1:R1"/>
    <mergeCell ref="S1:V1"/>
    <mergeCell ref="W1:BK1"/>
  </mergeCells>
  <dataValidations count="4">
    <dataValidation allowBlank="true" error="Please select from the dropdown list" errorStyle="stop" errorTitle="Invalid Entry" operator="between" prompt="Select from list or type custom value" promptTitle="Choose value" showDropDown="false" showErrorMessage="false" showInputMessage="false" sqref="X3:X4" type="list">
      <formula1>"Hole Transport Layer,Electron Transport Layer,Absorber Layer,Buffer Layer,A.R.C.,Back reflection,Down conversion,Encapsulation,Light management,Upconversion,Back Contact,Passivation,Carbon Paste Layer,Substrate Conductive Layer"</formula1>
      <formula2>0</formula2>
    </dataValidation>
    <dataValidation allowBlank="true" error="Please select from the dropdown list" errorStyle="stop" errorTitle="Invalid Entry" operator="between" prompt="Select from list or type custom value" promptTitle="Choose value" showDropDown="false" showErrorMessage="false" showInputMessage="false" sqref="AZ3:AZ4" type="list">
      <formula1>"Rectangle,Diamond,Round"</formula1>
      <formula2>0</formula2>
    </dataValidation>
    <dataValidation allowBlank="true" error="Please select from the dropdown list" errorStyle="stop" errorTitle="Invalid Entry" operator="between" prompt="Select from list or type custom value" promptTitle="Choose value" showDropDown="false" showErrorMessage="false" showInputMessage="false" sqref="BC3:BC4" type="list">
      <formula1>"Forward,Backward"</formula1>
      <formula2>0</formula2>
    </dataValidation>
    <dataValidation allowBlank="true" error="Please select from the dropdown list" errorStyle="stop" errorTitle="Invalid Entry" operator="between" prompt="Select from list or type custom value" promptTitle="Choose value" showDropDown="false" showErrorMessage="false" showInputMessage="false" sqref="BF3:BF4" type="list">
      <formula1>"R2R,S2S"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2025-11-19T19:00:09Z</dcterms:created>
  <dc:creator>openpyxl</dc:creator>
  <dc:description/>
  <dc:language>en-US</dc:language>
  <cp:lastModifiedBy/>
  <dcterms:modified xsi:type="dcterms:W3CDTF">2025-11-21T17:46:49Z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