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sheetId="1" state="visible" r:id="rId3"/>
    <sheet name="Sheet2" sheetId="2"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Format: DD-MM-YYYY</t>
        </r>
      </text>
    </comment>
    <comment ref="G2" authorId="0">
      <text>
        <r>
          <rPr>
            <sz val="10"/>
            <rFont val="Arial"/>
            <family val="2"/>
          </rPr>
          <t xml:space="preserve">Describe the main variation parameter for this sample</t>
        </r>
      </text>
    </comment>
    <comment ref="I2" authorId="0">
      <text>
        <r>
          <rPr>
            <sz val="10"/>
            <rFont val="Arial"/>
            <family val="2"/>
          </rPr>
          <t xml:space="preserve">Total area of the substrate</t>
        </r>
      </text>
    </comment>
    <comment ref="J2" authorId="0">
      <text>
        <r>
          <rPr>
            <sz val="10"/>
            <rFont val="Arial"/>
            <family val="2"/>
          </rPr>
          <t xml:space="preserve">Number of individual solar cell pixels on the substrate</t>
        </r>
      </text>
    </comment>
    <comment ref="K2" authorId="0">
      <text>
        <r>
          <rPr>
            <sz val="10"/>
            <rFont val="Arial"/>
            <family val="2"/>
          </rPr>
          <t xml:space="preserve">Active area of each individual pixel</t>
        </r>
      </text>
    </comment>
    <comment ref="L3" authorId="0">
      <text>
        <r>
          <rPr>
            <sz val="10"/>
            <rFont val="Arial"/>
            <family val="2"/>
          </rPr>
          <t xml:space="preserve">Suggested options:
SLG, PET
You can type any custom value.</t>
        </r>
      </text>
    </comment>
    <comment ref="S2" authorId="0">
      <text>
        <r>
          <rPr>
            <sz val="10"/>
            <rFont val="Arial"/>
            <family val="2"/>
          </rPr>
          <t xml:space="preserve">Chemical formula or material name</t>
        </r>
      </text>
    </comment>
    <comment ref="S3" authorId="0">
      <text>
        <r>
          <rPr>
            <sz val="10"/>
            <rFont val="Arial"/>
            <family val="2"/>
          </rPr>
          <t xml:space="preserve">Suggested options:
PTAA, Spiro-OMeTAD, PEAI, PCMB, BCP, P3HT
You can type any custom value.</t>
        </r>
      </text>
    </comment>
    <comment ref="T2" authorId="0">
      <text>
        <r>
          <rPr>
            <sz val="10"/>
            <rFont val="Arial"/>
            <family val="2"/>
          </rPr>
          <t xml:space="preserve">Select layer function from dropdown</t>
        </r>
      </text>
    </comment>
    <comment ref="T3" authorId="0">
      <text>
        <r>
          <rPr>
            <sz val="10"/>
            <rFont val="Arial"/>
            <family val="2"/>
          </rPr>
          <t xml:space="preserve">Suggested options:
Hole Transport Layer, Electron Transport Layer, Absorber Layer, Buffer Layer, A.R.C., Back reflection, Down conversion, Encapsulation, Light management, Upconversion, Back Contact, Passivation, Carbon Paste Layer, Substrate Conductive Layer
You can type any custom value.</t>
        </r>
      </text>
    </comment>
    <comment ref="U2" authorId="0">
      <text>
        <r>
          <rPr>
            <sz val="10"/>
            <rFont val="Arial"/>
            <family val="2"/>
          </rPr>
          <t xml:space="preserve">Product Tracking</t>
        </r>
      </text>
    </comment>
    <comment ref="AF2" authorId="0">
      <text>
        <r>
          <rPr>
            <sz val="10"/>
            <rFont val="Arial"/>
            <family val="2"/>
          </rPr>
          <t xml:space="preserve">Select filter material or type custom</t>
        </r>
      </text>
    </comment>
    <comment ref="AH3" authorId="0">
      <text>
        <r>
          <rPr>
            <sz val="10"/>
            <rFont val="Arial"/>
            <family val="2"/>
          </rPr>
          <t xml:space="preserve">Suggested options:
IPA, CB, DMSO, DMF, ACN, EtOH
You can type any custom value.</t>
        </r>
      </text>
    </comment>
    <comment ref="AK2" authorId="0">
      <text>
        <r>
          <rPr>
            <sz val="10"/>
            <rFont val="Arial"/>
            <family val="2"/>
          </rPr>
          <t xml:space="preserve">Material tracking identifier</t>
        </r>
      </text>
    </comment>
    <comment ref="AL3" authorId="0">
      <text>
        <r>
          <rPr>
            <sz val="10"/>
            <rFont val="Arial"/>
            <family val="2"/>
          </rPr>
          <t xml:space="preserve">Suggested options:
MAI, FAI
You can type any custom value.</t>
        </r>
      </text>
    </comment>
    <comment ref="AN2" authorId="0">
      <text>
        <r>
          <rPr>
            <sz val="10"/>
            <rFont val="Arial"/>
            <family val="2"/>
          </rPr>
          <t xml:space="preserve">Material tracking identifier</t>
        </r>
      </text>
    </comment>
    <comment ref="AO3" authorId="0">
      <text>
        <r>
          <rPr>
            <sz val="10"/>
            <rFont val="Arial"/>
            <family val="2"/>
          </rPr>
          <t xml:space="preserve">Suggested options:
tBP, Li-TFSI
You can type any custom value.</t>
        </r>
      </text>
    </comment>
    <comment ref="AQ2" authorId="0">
      <text>
        <r>
          <rPr>
            <sz val="10"/>
            <rFont val="Arial"/>
            <family val="2"/>
          </rPr>
          <t xml:space="preserve">Material tracking identifier</t>
        </r>
      </text>
    </comment>
    <comment ref="AR2" authorId="0">
      <text>
        <r>
          <rPr>
            <sz val="10"/>
            <rFont val="Arial"/>
            <family val="2"/>
          </rPr>
          <t xml:space="preserve">Screen mesh material type</t>
        </r>
      </text>
    </comment>
    <comment ref="AS2" authorId="0">
      <text>
        <r>
          <rPr>
            <sz val="10"/>
            <rFont val="Arial"/>
            <family val="2"/>
          </rPr>
          <t xml:space="preserve">Number of mesh openings per centimeter</t>
        </r>
      </text>
    </comment>
    <comment ref="AT2" authorId="0">
      <text>
        <r>
          <rPr>
            <sz val="10"/>
            <rFont val="Arial"/>
            <family val="2"/>
          </rPr>
          <t xml:space="preserve">Thickness of the mesh fabric</t>
        </r>
      </text>
    </comment>
    <comment ref="AU2" authorId="0">
      <text>
        <r>
          <rPr>
            <sz val="10"/>
            <rFont val="Arial"/>
            <family val="2"/>
          </rPr>
          <t xml:space="preserve">Diameter of individual mesh threads</t>
        </r>
      </text>
    </comment>
    <comment ref="AV2" authorId="0">
      <text>
        <r>
          <rPr>
            <sz val="10"/>
            <rFont val="Arial"/>
            <family val="2"/>
          </rPr>
          <t xml:space="preserve">Size of individual mesh openings</t>
        </r>
      </text>
    </comment>
    <comment ref="AW2" authorId="0">
      <text>
        <r>
          <rPr>
            <sz val="10"/>
            <rFont val="Arial"/>
            <family val="2"/>
          </rPr>
          <t xml:space="preserve">Applied tension on the mesh during printing</t>
        </r>
      </text>
    </comment>
    <comment ref="AX2" authorId="0">
      <text>
        <r>
          <rPr>
            <sz val="10"/>
            <rFont val="Arial"/>
            <family val="2"/>
          </rPr>
          <t xml:space="preserve">Angle of mesh relative to printing direction</t>
        </r>
      </text>
    </comment>
    <comment ref="AY2" authorId="0">
      <text>
        <r>
          <rPr>
            <sz val="10"/>
            <rFont val="Arial"/>
            <family val="2"/>
          </rPr>
          <t xml:space="preserve">Type of emulsion used for stencil</t>
        </r>
      </text>
    </comment>
    <comment ref="AZ2" authorId="0">
      <text>
        <r>
          <rPr>
            <sz val="10"/>
            <rFont val="Arial"/>
            <family val="2"/>
          </rPr>
          <t xml:space="preserve">Thickness of the emulsion layer</t>
        </r>
      </text>
    </comment>
    <comment ref="BA2" authorId="0">
      <text>
        <r>
          <rPr>
            <sz val="10"/>
            <rFont val="Arial"/>
            <family val="2"/>
          </rPr>
          <t xml:space="preserve">Material of the squeegee blade</t>
        </r>
      </text>
    </comment>
    <comment ref="BB2" authorId="0">
      <text>
        <r>
          <rPr>
            <sz val="10"/>
            <rFont val="Arial"/>
            <family val="2"/>
          </rPr>
          <t xml:space="preserve">Cross-sectional shape of squeegee</t>
        </r>
      </text>
    </comment>
    <comment ref="BB3" authorId="0">
      <text>
        <r>
          <rPr>
            <sz val="10"/>
            <rFont val="Arial"/>
            <family val="2"/>
          </rPr>
          <t xml:space="preserve">Suggested options:
Rectangle, Diamond, Round
You can type any custom value.</t>
        </r>
      </text>
    </comment>
    <comment ref="BC2" authorId="0">
      <text>
        <r>
          <rPr>
            <sz val="10"/>
            <rFont val="Arial"/>
            <family val="2"/>
          </rPr>
          <t xml:space="preserve">Angle of squeegee relative to screen surface</t>
        </r>
      </text>
    </comment>
    <comment ref="BD2" authorId="0">
      <text>
        <r>
          <rPr>
            <sz val="10"/>
            <rFont val="Arial"/>
            <family val="2"/>
          </rPr>
          <t xml:space="preserve">Speed of squeegee movement during printing</t>
        </r>
      </text>
    </comment>
    <comment ref="BE2" authorId="0">
      <text>
        <r>
          <rPr>
            <sz val="10"/>
            <rFont val="Arial"/>
            <family val="2"/>
          </rPr>
          <t xml:space="preserve">Forward or Backward</t>
        </r>
      </text>
    </comment>
    <comment ref="BE3" authorId="0">
      <text>
        <r>
          <rPr>
            <sz val="10"/>
            <rFont val="Arial"/>
            <family val="2"/>
          </rPr>
          <t xml:space="preserve">Suggested options:
Forward, Backward
You can type any custom value.</t>
        </r>
      </text>
    </comment>
    <comment ref="BF2" authorId="0">
      <text>
        <r>
          <rPr>
            <sz val="10"/>
            <rFont val="Arial"/>
            <family val="2"/>
          </rPr>
          <t xml:space="preserve">Applied pressure during printing stroke</t>
        </r>
      </text>
    </comment>
    <comment ref="BG2" authorId="0">
      <text>
        <r>
          <rPr>
            <sz val="10"/>
            <rFont val="Arial"/>
            <family val="2"/>
          </rPr>
          <t xml:space="preserve">Gap between screen and substrate during printing</t>
        </r>
      </text>
    </comment>
    <comment ref="BH2" authorId="0">
      <text>
        <r>
          <rPr>
            <sz val="10"/>
            <rFont val="Arial"/>
            <family val="2"/>
          </rPr>
          <t xml:space="preserve">R2R or S2S</t>
        </r>
      </text>
    </comment>
    <comment ref="BH3" authorId="0">
      <text>
        <r>
          <rPr>
            <sz val="10"/>
            <rFont val="Arial"/>
            <family val="2"/>
          </rPr>
          <t xml:space="preserve">Suggested options:
R2R, S2S
You can type any custom value.</t>
        </r>
      </text>
    </comment>
    <comment ref="BI3" authorId="0">
      <text>
        <r>
          <rPr>
            <sz val="10"/>
            <rFont val="Arial"/>
            <family val="2"/>
          </rPr>
          <t xml:space="preserve">Suggested options:
PTAA, Spiro-OMeTAD, PEAI, PCMB, BCP, P3HT
You can type any custom value.</t>
        </r>
      </text>
    </comment>
    <comment ref="BJ3" authorId="0">
      <text>
        <r>
          <rPr>
            <sz val="10"/>
            <rFont val="Arial"/>
            <family val="2"/>
          </rPr>
          <t xml:space="preserve">Suggested options:
Hole Transport Layer, Electron Transport Layer, Absorber Layer, Buffer Layer, A.R.C., Back reflection, Down conversion, Encapsulation, Light management, Upconversion, Back Contact, Passivation, Carbon Paste Layer, Substrate Conductive Layer
You can type any custom value.</t>
        </r>
      </text>
    </comment>
    <comment ref="BK2" authorId="0">
      <text>
        <r>
          <rPr>
            <sz val="10"/>
            <rFont val="Arial"/>
            <family val="2"/>
          </rPr>
          <t xml:space="preserve">Product Tracking</t>
        </r>
      </text>
    </comment>
  </commentList>
</comments>
</file>

<file path=xl/sharedStrings.xml><?xml version="1.0" encoding="utf-8"?>
<sst xmlns="http://schemas.openxmlformats.org/spreadsheetml/2006/main" count="156" uniqueCount="136">
  <si>
    <t xml:space="preserve">Experiment Info</t>
  </si>
  <si>
    <t xml:space="preserve">1: Screen Printing</t>
  </si>
  <si>
    <t xml:space="preserve">2: Evaporation</t>
  </si>
  <si>
    <t xml:space="preserve">Date</t>
  </si>
  <si>
    <t xml:space="preserve">Project_Name</t>
  </si>
  <si>
    <t xml:space="preserve">Batch</t>
  </si>
  <si>
    <t xml:space="preserve">Subbatch</t>
  </si>
  <si>
    <t xml:space="preserve">Sample</t>
  </si>
  <si>
    <t xml:space="preserve">Nomad ID</t>
  </si>
  <si>
    <t xml:space="preserve">Variation</t>
  </si>
  <si>
    <t xml:space="preserve">Sample dimension</t>
  </si>
  <si>
    <t xml:space="preserve">Sample area [cm^2]</t>
  </si>
  <si>
    <t xml:space="preserve">Number of pixels</t>
  </si>
  <si>
    <t xml:space="preserve">Pixel area [cm^2]</t>
  </si>
  <si>
    <t xml:space="preserve">Substrate material</t>
  </si>
  <si>
    <t xml:space="preserve">Substrate conductive layer</t>
  </si>
  <si>
    <t xml:space="preserve">Transmission [%]</t>
  </si>
  <si>
    <t xml:space="preserve">Sheet Resistance [Ohms/square]</t>
  </si>
  <si>
    <t xml:space="preserve">TCO thickness [nm]</t>
  </si>
  <si>
    <t xml:space="preserve">Number of junctions</t>
  </si>
  <si>
    <t xml:space="preserve">Notes</t>
  </si>
  <si>
    <t xml:space="preserve">Material name</t>
  </si>
  <si>
    <t xml:space="preserve">Layer type</t>
  </si>
  <si>
    <t xml:space="preserve">Layer chemical ID</t>
  </si>
  <si>
    <t xml:space="preserve">Layer thickness [nm]</t>
  </si>
  <si>
    <t xml:space="preserve">Morphology</t>
  </si>
  <si>
    <t xml:space="preserve">Tool/GB name</t>
  </si>
  <si>
    <t xml:space="preserve">Viscosity [mPa*s]</t>
  </si>
  <si>
    <t xml:space="preserve">Contact angle [°]</t>
  </si>
  <si>
    <t xml:space="preserve">Room temperature [°C]</t>
  </si>
  <si>
    <t xml:space="preserve">Room/GB humidity [%]</t>
  </si>
  <si>
    <t xml:space="preserve">GB oxygen level [ppm]</t>
  </si>
  <si>
    <t xml:space="preserve">Solution volume [uL]</t>
  </si>
  <si>
    <t xml:space="preserve">Filter Material</t>
  </si>
  <si>
    <t xml:space="preserve">Filter Pore Size [um]</t>
  </si>
  <si>
    <t xml:space="preserve">Solvent 1 name</t>
  </si>
  <si>
    <t xml:space="preserve">Solvent 1 volume [uL]</t>
  </si>
  <si>
    <t xml:space="preserve">Solvent 1 relative amount</t>
  </si>
  <si>
    <t xml:space="preserve">Solvent 1 chemical ID</t>
  </si>
  <si>
    <t xml:space="preserve">Solute 1 name</t>
  </si>
  <si>
    <t xml:space="preserve">Solute 1 Concentration [mM]</t>
  </si>
  <si>
    <t xml:space="preserve">Solute 1 chemical ID</t>
  </si>
  <si>
    <t xml:space="preserve">Additive 1 name</t>
  </si>
  <si>
    <t xml:space="preserve">Additive 1 Concentration [mg/ml]</t>
  </si>
  <si>
    <t xml:space="preserve">Additive 1 chemical ID</t>
  </si>
  <si>
    <t xml:space="preserve">Mesh material</t>
  </si>
  <si>
    <t xml:space="preserve">Mesh count [meshes/cm]</t>
  </si>
  <si>
    <t xml:space="preserve">Mesh thickness [um]</t>
  </si>
  <si>
    <t xml:space="preserve">Thread diameter [um]</t>
  </si>
  <si>
    <t xml:space="preserve">Mesh opening [um]</t>
  </si>
  <si>
    <t xml:space="preserve">Mesh tension [N/cm]</t>
  </si>
  <si>
    <t xml:space="preserve">Mesh angle [°]</t>
  </si>
  <si>
    <t xml:space="preserve">Emulsion material</t>
  </si>
  <si>
    <t xml:space="preserve">Emulsion thickness [um]</t>
  </si>
  <si>
    <t xml:space="preserve">Squeegee material</t>
  </si>
  <si>
    <t xml:space="preserve">Squeegee shape</t>
  </si>
  <si>
    <t xml:space="preserve">Squeegee angle [°]</t>
  </si>
  <si>
    <t xml:space="preserve">Printing speed [mm/s]</t>
  </si>
  <si>
    <t xml:space="preserve">Printing direction</t>
  </si>
  <si>
    <t xml:space="preserve">Printing pressure [bar]</t>
  </si>
  <si>
    <t xml:space="preserve">Snap-off distance [mm]</t>
  </si>
  <si>
    <t xml:space="preserve">Printing method</t>
  </si>
  <si>
    <t xml:space="preserve">Drying Time [s]</t>
  </si>
  <si>
    <t xml:space="preserve">Organic</t>
  </si>
  <si>
    <t xml:space="preserve">Base pressure [bar]</t>
  </si>
  <si>
    <t xml:space="preserve">Pressure start [bar]</t>
  </si>
  <si>
    <t xml:space="preserve">Pressure end [bar]</t>
  </si>
  <si>
    <t xml:space="preserve">Source temperature start[°C]</t>
  </si>
  <si>
    <t xml:space="preserve">Source temperature end[°C]</t>
  </si>
  <si>
    <t xml:space="preserve">Substrate temperature [°C]</t>
  </si>
  <si>
    <t xml:space="preserve">Rate start [angstrom/s]</t>
  </si>
  <si>
    <t xml:space="preserve">Rate target [angstrom/s]</t>
  </si>
  <si>
    <t xml:space="preserve">Tooling factor</t>
  </si>
  <si>
    <t xml:space="preserve">21-05-2025</t>
  </si>
  <si>
    <t xml:space="preserve">Project</t>
  </si>
  <si>
    <t xml:space="preserve">1</t>
  </si>
  <si>
    <t xml:space="preserve">1000 rpm</t>
  </si>
  <si>
    <t xml:space="preserve">1 cm x 1 cm</t>
  </si>
  <si>
    <t xml:space="preserve">Soda Lime Glass</t>
  </si>
  <si>
    <t xml:space="preserve">ITO</t>
  </si>
  <si>
    <t xml:space="preserve">Experiment Notes</t>
  </si>
  <si>
    <t xml:space="preserve">Cs0.05(MA0.17FA0.83)0.95Pb(I0.83Br0.17)3</t>
  </si>
  <si>
    <t xml:space="preserve">Absorber Layer</t>
  </si>
  <si>
    <t xml:space="preserve">Layer1ID</t>
  </si>
  <si>
    <t xml:space="preserve">Uniform</t>
  </si>
  <si>
    <t xml:space="preserve">Batch supplier-ID-Opened at-remaining shelf life</t>
  </si>
  <si>
    <t xml:space="preserve">Loc Box</t>
  </si>
  <si>
    <t xml:space="preserve">PTFE</t>
  </si>
  <si>
    <t xml:space="preserve">DMF</t>
  </si>
  <si>
    <t xml:space="preserve">Od5</t>
  </si>
  <si>
    <t xml:space="preserve">PbI2</t>
  </si>
  <si>
    <t xml:space="preserve">Sol1</t>
  </si>
  <si>
    <t xml:space="preserve">starch</t>
  </si>
  <si>
    <t xml:space="preserve">Ava2</t>
  </si>
  <si>
    <t xml:space="preserve">Polyester</t>
  </si>
  <si>
    <t xml:space="preserve">Photopolymer</t>
  </si>
  <si>
    <t xml:space="preserve">Polyurethane</t>
  </si>
  <si>
    <t xml:space="preserve">Rectangle</t>
  </si>
  <si>
    <t xml:space="preserve">Forward</t>
  </si>
  <si>
    <t xml:space="preserve">R2R</t>
  </si>
  <si>
    <t xml:space="preserve">C</t>
  </si>
  <si>
    <t xml:space="preserve">Carbon Paste Layer</t>
  </si>
  <si>
    <t xml:space="preserve">Car5</t>
  </si>
  <si>
    <t xml:space="preserve">Loc1 Box</t>
  </si>
  <si>
    <t xml:space="preserve">Evaporation Test</t>
  </si>
  <si>
    <t xml:space="preserve">Chemical ID</t>
  </si>
  <si>
    <t xml:space="preserve">Lot Number</t>
  </si>
  <si>
    <t xml:space="preserve">Product Number</t>
  </si>
  <si>
    <t xml:space="preserve">Delivered Product Volume [ml]</t>
  </si>
  <si>
    <t xml:space="preserve">Delivered Product Weight [g]</t>
  </si>
  <si>
    <t xml:space="preserve">Shipping Date</t>
  </si>
  <si>
    <t xml:space="preserve">Opening Date</t>
  </si>
  <si>
    <t xml:space="preserve">Supplier</t>
  </si>
  <si>
    <t xml:space="preserve">Product Description</t>
  </si>
  <si>
    <t xml:space="preserve">Cost [EUR]</t>
  </si>
  <si>
    <t xml:space="preserve">SFK42EA</t>
  </si>
  <si>
    <t xml:space="preserve">26/5/2025</t>
  </si>
  <si>
    <t xml:space="preserve">Solaveni</t>
  </si>
  <si>
    <t xml:space="preserve">PbI2 from PbSO4</t>
  </si>
  <si>
    <t xml:space="preserve">N-31</t>
  </si>
  <si>
    <t xml:space="preserve">21/3/2025</t>
  </si>
  <si>
    <t xml:space="preserve">Avantama</t>
  </si>
  <si>
    <t xml:space="preserve">2.5wt% SnO2 in mixture of Butanols</t>
  </si>
  <si>
    <t xml:space="preserve">27/5/2025</t>
  </si>
  <si>
    <t xml:space="preserve">ODTU</t>
  </si>
  <si>
    <t xml:space="preserve">Large ammonium cations</t>
  </si>
  <si>
    <t xml:space="preserve">LOT1</t>
  </si>
  <si>
    <t xml:space="preserve">L1</t>
  </si>
  <si>
    <t xml:space="preserve">InkCompany</t>
  </si>
  <si>
    <t xml:space="preserve">Ink used directly for deposition</t>
  </si>
  <si>
    <t xml:space="preserve">CB</t>
  </si>
  <si>
    <t xml:space="preserve">Carbon Paste</t>
  </si>
  <si>
    <t xml:space="preserve">Layer2ID</t>
  </si>
  <si>
    <t xml:space="preserve">LOT2</t>
  </si>
  <si>
    <t xml:space="preserve">L2</t>
  </si>
  <si>
    <t xml:space="preserve">InkTink</t>
  </si>
</sst>
</file>

<file path=xl/styles.xml><?xml version="1.0" encoding="utf-8"?>
<styleSheet xmlns="http://schemas.openxmlformats.org/spreadsheetml/2006/main">
  <numFmts count="3">
    <numFmt numFmtId="164" formatCode="General"/>
    <numFmt numFmtId="165" formatCode="General"/>
    <numFmt numFmtId="166" formatCode="mm/dd/yy"/>
  </numFmts>
  <fonts count="5">
    <font>
      <sz val="11"/>
      <color theme="1"/>
      <name val="Calibri"/>
      <family val="2"/>
      <charset val="1"/>
    </font>
    <font>
      <sz val="10"/>
      <name val="Arial"/>
      <family val="0"/>
    </font>
    <font>
      <sz val="10"/>
      <name val="Arial"/>
      <family val="0"/>
    </font>
    <font>
      <sz val="10"/>
      <name val="Arial"/>
      <family val="0"/>
    </font>
    <font>
      <sz val="10"/>
      <name val="Arial"/>
      <family val="2"/>
    </font>
  </fonts>
  <fills count="8">
    <fill>
      <patternFill patternType="none"/>
    </fill>
    <fill>
      <patternFill patternType="gray125"/>
    </fill>
    <fill>
      <patternFill patternType="solid">
        <fgColor rgb="FF1F77B4"/>
        <bgColor rgb="FF008080"/>
      </patternFill>
    </fill>
    <fill>
      <patternFill patternType="solid">
        <fgColor rgb="FFFF7F0E"/>
        <bgColor rgb="FFFF9900"/>
      </patternFill>
    </fill>
    <fill>
      <patternFill patternType="solid">
        <fgColor rgb="FF2CA02C"/>
        <bgColor rgb="FF008000"/>
      </patternFill>
    </fill>
    <fill>
      <patternFill patternType="solid">
        <fgColor rgb="FF8FBBD9"/>
        <bgColor rgb="FF95CF95"/>
      </patternFill>
    </fill>
    <fill>
      <patternFill patternType="solid">
        <fgColor rgb="FFFFBF86"/>
        <bgColor rgb="FFFF99CC"/>
      </patternFill>
    </fill>
    <fill>
      <patternFill patternType="solid">
        <fgColor rgb="FF95CF95"/>
        <bgColor rgb="FF8FBB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true" applyAlignment="true" applyProtection="true">
      <alignment horizontal="center" vertical="center" textRotation="0" wrapText="false" indent="0" shrinkToFit="false"/>
      <protection locked="true" hidden="false"/>
    </xf>
    <xf numFmtId="164" fontId="0" fillId="3" borderId="0" xfId="0" applyFont="true" applyBorder="true" applyAlignment="true" applyProtection="true">
      <alignment horizontal="center" vertical="center" textRotation="0" wrapText="false" indent="0" shrinkToFit="false"/>
      <protection locked="true" hidden="false"/>
    </xf>
    <xf numFmtId="164" fontId="0" fillId="4" borderId="0" xfId="0" applyFont="true" applyBorder="true" applyAlignment="true" applyProtection="true">
      <alignment horizontal="center" vertical="center" textRotation="0" wrapText="false" indent="0" shrinkToFit="false"/>
      <protection locked="true" hidden="false"/>
    </xf>
    <xf numFmtId="164" fontId="0" fillId="5" borderId="0" xfId="0" applyFont="true" applyBorder="false" applyAlignment="true" applyProtection="true">
      <alignment horizontal="general" vertical="bottom" textRotation="0" wrapText="false" indent="0" shrinkToFit="false"/>
      <protection locked="true" hidden="false"/>
    </xf>
    <xf numFmtId="164" fontId="0" fillId="6" borderId="0" xfId="0" applyFont="true" applyBorder="false" applyAlignment="true" applyProtection="true">
      <alignment horizontal="general" vertical="bottom" textRotation="0" wrapText="false" indent="0" shrinkToFit="false"/>
      <protection locked="true" hidden="false"/>
    </xf>
    <xf numFmtId="164" fontId="0" fillId="7"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95CF95"/>
      <rgbColor rgb="FF808080"/>
      <rgbColor rgb="FF9999FF"/>
      <rgbColor rgb="FF993366"/>
      <rgbColor rgb="FFFFFFCC"/>
      <rgbColor rgb="FFCCFFFF"/>
      <rgbColor rgb="FF660066"/>
      <rgbColor rgb="FFFF8080"/>
      <rgbColor rgb="FF1F77B4"/>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FBBD9"/>
      <rgbColor rgb="FFFF99CC"/>
      <rgbColor rgb="FFCC99FF"/>
      <rgbColor rgb="FFFFBF86"/>
      <rgbColor rgb="FF3366FF"/>
      <rgbColor rgb="FF33CCCC"/>
      <rgbColor rgb="FF99CC00"/>
      <rgbColor rgb="FFFFCC00"/>
      <rgbColor rgb="FFFF9900"/>
      <rgbColor rgb="FFFF7F0E"/>
      <rgbColor rgb="FF666699"/>
      <rgbColor rgb="FF969696"/>
      <rgbColor rgb="FF003366"/>
      <rgbColor rgb="FF2CA02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D4"/>
  <sheetViews>
    <sheetView showFormulas="false" showGridLines="true" showRowColHeaders="true" showZeros="true" rightToLeft="false" tabSelected="true" showOutlineSymbols="true" defaultGridColor="true" view="normal" topLeftCell="N1" colorId="64" zoomScale="100" zoomScaleNormal="100" zoomScalePageLayoutView="100" workbookViewId="0">
      <selection pane="topLeft" activeCell="N3" activeCellId="0" sqref="N3"/>
    </sheetView>
  </sheetViews>
  <sheetFormatPr defaultColWidth="8.6796875" defaultRowHeight="15" zeroHeight="false" outlineLevelRow="0" outlineLevelCol="0"/>
  <cols>
    <col collapsed="false" customWidth="true" hidden="false" outlineLevel="0" max="1" min="1" style="1" width="17"/>
    <col collapsed="false" customWidth="true" hidden="false" outlineLevel="0" max="2" min="2" style="1" width="14"/>
    <col collapsed="false" customWidth="true" hidden="false" outlineLevel="0" max="3" min="3" style="1" width="7"/>
    <col collapsed="false" customWidth="true" hidden="false" outlineLevel="0" max="4" min="4" style="1" width="10"/>
    <col collapsed="false" customWidth="true" hidden="false" outlineLevel="0" max="5" min="5" style="1" width="8"/>
    <col collapsed="false" customWidth="true" hidden="false" outlineLevel="0" max="6" min="6" style="1" width="49"/>
    <col collapsed="false" customWidth="true" hidden="false" outlineLevel="0" max="7" min="7" style="1" width="11"/>
    <col collapsed="false" customWidth="true" hidden="false" outlineLevel="0" max="8" min="8" style="1" width="18"/>
    <col collapsed="false" customWidth="true" hidden="false" outlineLevel="0" max="9" min="9" style="1" width="20"/>
    <col collapsed="false" customWidth="true" hidden="false" outlineLevel="0" max="10" min="10" style="1" width="18"/>
    <col collapsed="false" customWidth="true" hidden="false" outlineLevel="0" max="11" min="11" style="1" width="19"/>
    <col collapsed="false" customWidth="true" hidden="false" outlineLevel="0" max="12" min="12" style="1" width="20"/>
    <col collapsed="false" customWidth="true" hidden="false" outlineLevel="0" max="13" min="13" style="1" width="28"/>
    <col collapsed="false" customWidth="true" hidden="false" outlineLevel="0" max="14" min="14" style="1" width="18"/>
    <col collapsed="false" customWidth="true" hidden="false" outlineLevel="0" max="15" min="15" style="1" width="32"/>
    <col collapsed="false" customWidth="true" hidden="false" outlineLevel="0" max="16" min="16" style="1" width="20"/>
    <col collapsed="false" customWidth="true" hidden="false" outlineLevel="0" max="17" min="17" style="1" width="21"/>
    <col collapsed="false" customWidth="true" hidden="false" outlineLevel="0" max="18" min="18" style="1" width="18"/>
    <col collapsed="false" customWidth="true" hidden="false" outlineLevel="0" max="19" min="19" style="1" width="42"/>
    <col collapsed="false" customWidth="true" hidden="false" outlineLevel="0" max="20" min="20" style="1" width="16"/>
    <col collapsed="false" customWidth="true" hidden="false" outlineLevel="0" max="21" min="21" style="1" width="19"/>
    <col collapsed="false" customWidth="true" hidden="false" outlineLevel="0" max="22" min="22" style="1" width="22"/>
    <col collapsed="false" customWidth="true" hidden="false" outlineLevel="0" max="23" min="23" style="1" width="12"/>
    <col collapsed="false" customWidth="true" hidden="false" outlineLevel="0" max="24" min="24" style="1" width="50"/>
    <col collapsed="false" customWidth="true" hidden="false" outlineLevel="0" max="25" min="25" style="1" width="14"/>
    <col collapsed="false" customWidth="true" hidden="false" outlineLevel="0" max="27" min="26" style="1" width="19"/>
    <col collapsed="false" customWidth="true" hidden="false" outlineLevel="0" max="28" min="28" style="1" width="23"/>
    <col collapsed="false" customWidth="true" hidden="false" outlineLevel="0" max="29" min="29" style="1" width="22"/>
    <col collapsed="false" customWidth="true" hidden="false" outlineLevel="0" max="30" min="30" style="1" width="23"/>
    <col collapsed="false" customWidth="true" hidden="false" outlineLevel="0" max="31" min="31" style="1" width="22"/>
    <col collapsed="false" customWidth="true" hidden="false" outlineLevel="0" max="32" min="32" style="1" width="17"/>
    <col collapsed="false" customWidth="true" hidden="false" outlineLevel="0" max="33" min="33" style="1" width="23"/>
    <col collapsed="false" customWidth="true" hidden="false" outlineLevel="0" max="34" min="34" style="1" width="16"/>
    <col collapsed="false" customWidth="true" hidden="false" outlineLevel="0" max="35" min="35" style="1" width="23"/>
    <col collapsed="false" customWidth="true" hidden="false" outlineLevel="0" max="36" min="36" style="1" width="27"/>
    <col collapsed="false" customWidth="true" hidden="false" outlineLevel="0" max="37" min="37" style="1" width="23"/>
    <col collapsed="false" customWidth="true" hidden="false" outlineLevel="0" max="38" min="38" style="1" width="15"/>
    <col collapsed="false" customWidth="true" hidden="false" outlineLevel="0" max="39" min="39" style="1" width="29"/>
    <col collapsed="false" customWidth="true" hidden="false" outlineLevel="0" max="40" min="40" style="1" width="22"/>
    <col collapsed="false" customWidth="true" hidden="false" outlineLevel="0" max="41" min="41" style="1" width="17"/>
    <col collapsed="false" customWidth="true" hidden="false" outlineLevel="0" max="42" min="42" style="1" width="34"/>
    <col collapsed="false" customWidth="true" hidden="false" outlineLevel="0" max="43" min="43" style="1" width="24"/>
    <col collapsed="false" customWidth="true" hidden="false" outlineLevel="0" max="44" min="44" style="1" width="15"/>
    <col collapsed="false" customWidth="true" hidden="false" outlineLevel="0" max="45" min="45" style="1" width="24"/>
    <col collapsed="false" customWidth="true" hidden="false" outlineLevel="0" max="46" min="46" style="1" width="21"/>
    <col collapsed="false" customWidth="true" hidden="false" outlineLevel="0" max="47" min="47" style="1" width="22"/>
    <col collapsed="false" customWidth="true" hidden="false" outlineLevel="0" max="48" min="48" style="1" width="19"/>
    <col collapsed="false" customWidth="true" hidden="false" outlineLevel="0" max="49" min="49" style="1" width="21"/>
    <col collapsed="false" customWidth="true" hidden="false" outlineLevel="0" max="50" min="50" style="1" width="16"/>
    <col collapsed="false" customWidth="true" hidden="false" outlineLevel="0" max="51" min="51" style="1" width="19"/>
    <col collapsed="false" customWidth="true" hidden="false" outlineLevel="0" max="52" min="52" style="1" width="25"/>
    <col collapsed="false" customWidth="true" hidden="false" outlineLevel="0" max="53" min="53" style="1" width="19"/>
    <col collapsed="false" customWidth="true" hidden="false" outlineLevel="0" max="54" min="54" style="1" width="16"/>
    <col collapsed="false" customWidth="true" hidden="false" outlineLevel="0" max="55" min="55" style="1" width="20"/>
    <col collapsed="false" customWidth="true" hidden="false" outlineLevel="0" max="56" min="56" style="1" width="23"/>
    <col collapsed="false" customWidth="true" hidden="false" outlineLevel="0" max="57" min="57" style="1" width="20"/>
    <col collapsed="false" customWidth="true" hidden="false" outlineLevel="0" max="58" min="58" style="1" width="25"/>
    <col collapsed="false" customWidth="true" hidden="false" outlineLevel="0" max="59" min="59" style="1" width="24"/>
    <col collapsed="false" customWidth="true" hidden="false" outlineLevel="0" max="60" min="60" style="1" width="17"/>
    <col collapsed="false" customWidth="true" hidden="false" outlineLevel="0" max="61" min="61" style="1" width="16"/>
    <col collapsed="false" customWidth="true" hidden="false" outlineLevel="0" max="62" min="62" style="1" width="20"/>
    <col collapsed="false" customWidth="true" hidden="false" outlineLevel="0" max="63" min="63" style="1" width="19"/>
    <col collapsed="false" customWidth="true" hidden="false" outlineLevel="0" max="64" min="64" style="1" width="22"/>
    <col collapsed="false" customWidth="true" hidden="false" outlineLevel="0" max="65" min="65" style="1" width="18"/>
    <col collapsed="false" customWidth="true" hidden="false" outlineLevel="0" max="66" min="66" style="1" width="12"/>
    <col collapsed="false" customWidth="true" hidden="false" outlineLevel="0" max="67" min="67" style="1" width="14"/>
    <col collapsed="false" customWidth="true" hidden="false" outlineLevel="0" max="68" min="68" style="1" width="23"/>
    <col collapsed="false" customWidth="true" hidden="false" outlineLevel="0" max="69" min="69" style="1" width="22"/>
    <col collapsed="false" customWidth="true" hidden="false" outlineLevel="0" max="70" min="70" style="1" width="23"/>
    <col collapsed="false" customWidth="true" hidden="false" outlineLevel="0" max="71" min="71" style="1" width="17"/>
    <col collapsed="false" customWidth="true" hidden="false" outlineLevel="0" max="72" min="72" style="1" width="9"/>
    <col collapsed="false" customWidth="true" hidden="false" outlineLevel="0" max="73" min="73" style="1" width="21"/>
    <col collapsed="false" customWidth="true" hidden="false" outlineLevel="0" max="74" min="74" style="1" width="22"/>
    <col collapsed="false" customWidth="true" hidden="false" outlineLevel="0" max="75" min="75" style="1" width="20"/>
    <col collapsed="false" customWidth="true" hidden="false" outlineLevel="0" max="76" min="76" style="1" width="30"/>
    <col collapsed="false" customWidth="true" hidden="false" outlineLevel="0" max="78" min="77" style="1" width="28"/>
    <col collapsed="false" customWidth="true" hidden="false" outlineLevel="0" max="79" min="79" style="1" width="25"/>
    <col collapsed="false" customWidth="true" hidden="false" outlineLevel="0" max="80" min="80" style="1" width="26"/>
    <col collapsed="false" customWidth="true" hidden="false" outlineLevel="0" max="81" min="81" style="1" width="16"/>
    <col collapsed="false" customWidth="true" hidden="false" outlineLevel="0" max="82" min="82" style="1" width="18"/>
  </cols>
  <sheetData>
    <row r="1" customFormat="false" ht="15" hidden="false" customHeight="false" outlineLevel="0" collapsed="false">
      <c r="A1" s="2" t="s">
        <v>0</v>
      </c>
      <c r="B1" s="2"/>
      <c r="C1" s="2"/>
      <c r="D1" s="2"/>
      <c r="E1" s="2"/>
      <c r="F1" s="2"/>
      <c r="G1" s="2"/>
      <c r="H1" s="2"/>
      <c r="I1" s="2"/>
      <c r="J1" s="2"/>
      <c r="K1" s="2"/>
      <c r="L1" s="2"/>
      <c r="M1" s="2"/>
      <c r="N1" s="2"/>
      <c r="O1" s="2"/>
      <c r="P1" s="2"/>
      <c r="Q1" s="2"/>
      <c r="R1" s="2"/>
      <c r="S1" s="3" t="s">
        <v>1</v>
      </c>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4" t="s">
        <v>2</v>
      </c>
      <c r="BJ1" s="4"/>
      <c r="BK1" s="4"/>
      <c r="BL1" s="4"/>
      <c r="BM1" s="4"/>
      <c r="BN1" s="4"/>
      <c r="BO1" s="4"/>
      <c r="BP1" s="4"/>
      <c r="BQ1" s="4"/>
      <c r="BR1" s="4"/>
      <c r="BS1" s="4"/>
      <c r="BT1" s="4"/>
      <c r="BU1" s="4"/>
      <c r="BV1" s="4"/>
      <c r="BW1" s="4"/>
      <c r="BX1" s="4"/>
      <c r="BY1" s="4"/>
      <c r="BZ1" s="4"/>
      <c r="CA1" s="4"/>
      <c r="CB1" s="4"/>
      <c r="CC1" s="4"/>
      <c r="CD1" s="4"/>
    </row>
    <row r="2" customFormat="false" ht="15" hidden="false" customHeight="false" outlineLevel="0" collapsed="false">
      <c r="A2" s="5" t="s">
        <v>3</v>
      </c>
      <c r="B2" s="5" t="s">
        <v>4</v>
      </c>
      <c r="C2" s="5" t="s">
        <v>5</v>
      </c>
      <c r="D2" s="5" t="s">
        <v>6</v>
      </c>
      <c r="E2" s="5" t="s">
        <v>7</v>
      </c>
      <c r="F2" s="5" t="s">
        <v>8</v>
      </c>
      <c r="G2" s="5" t="s">
        <v>9</v>
      </c>
      <c r="H2" s="5" t="s">
        <v>10</v>
      </c>
      <c r="I2" s="5" t="s">
        <v>11</v>
      </c>
      <c r="J2" s="5" t="s">
        <v>12</v>
      </c>
      <c r="K2" s="5" t="s">
        <v>13</v>
      </c>
      <c r="L2" s="5" t="s">
        <v>14</v>
      </c>
      <c r="M2" s="5" t="s">
        <v>15</v>
      </c>
      <c r="N2" s="5" t="s">
        <v>16</v>
      </c>
      <c r="O2" s="5" t="s">
        <v>17</v>
      </c>
      <c r="P2" s="5" t="s">
        <v>18</v>
      </c>
      <c r="Q2" s="5" t="s">
        <v>19</v>
      </c>
      <c r="R2" s="5" t="s">
        <v>20</v>
      </c>
      <c r="S2" s="6" t="s">
        <v>21</v>
      </c>
      <c r="T2" s="6" t="s">
        <v>22</v>
      </c>
      <c r="U2" s="6" t="s">
        <v>23</v>
      </c>
      <c r="V2" s="6" t="s">
        <v>24</v>
      </c>
      <c r="W2" s="6" t="s">
        <v>25</v>
      </c>
      <c r="X2" s="6" t="s">
        <v>20</v>
      </c>
      <c r="Y2" s="6" t="s">
        <v>26</v>
      </c>
      <c r="Z2" s="6" t="s">
        <v>27</v>
      </c>
      <c r="AA2" s="6" t="s">
        <v>28</v>
      </c>
      <c r="AB2" s="6" t="s">
        <v>29</v>
      </c>
      <c r="AC2" s="6" t="s">
        <v>30</v>
      </c>
      <c r="AD2" s="6" t="s">
        <v>31</v>
      </c>
      <c r="AE2" s="6" t="s">
        <v>32</v>
      </c>
      <c r="AF2" s="6" t="s">
        <v>33</v>
      </c>
      <c r="AG2" s="6" t="s">
        <v>34</v>
      </c>
      <c r="AH2" s="6" t="s">
        <v>35</v>
      </c>
      <c r="AI2" s="6" t="s">
        <v>36</v>
      </c>
      <c r="AJ2" s="6" t="s">
        <v>37</v>
      </c>
      <c r="AK2" s="6" t="s">
        <v>38</v>
      </c>
      <c r="AL2" s="6" t="s">
        <v>39</v>
      </c>
      <c r="AM2" s="6" t="s">
        <v>40</v>
      </c>
      <c r="AN2" s="6" t="s">
        <v>41</v>
      </c>
      <c r="AO2" s="6" t="s">
        <v>42</v>
      </c>
      <c r="AP2" s="6" t="s">
        <v>43</v>
      </c>
      <c r="AQ2" s="6" t="s">
        <v>44</v>
      </c>
      <c r="AR2" s="6" t="s">
        <v>45</v>
      </c>
      <c r="AS2" s="6" t="s">
        <v>46</v>
      </c>
      <c r="AT2" s="6" t="s">
        <v>47</v>
      </c>
      <c r="AU2" s="6" t="s">
        <v>48</v>
      </c>
      <c r="AV2" s="6" t="s">
        <v>49</v>
      </c>
      <c r="AW2" s="6" t="s">
        <v>50</v>
      </c>
      <c r="AX2" s="6" t="s">
        <v>51</v>
      </c>
      <c r="AY2" s="6" t="s">
        <v>52</v>
      </c>
      <c r="AZ2" s="6" t="s">
        <v>53</v>
      </c>
      <c r="BA2" s="6" t="s">
        <v>54</v>
      </c>
      <c r="BB2" s="6" t="s">
        <v>55</v>
      </c>
      <c r="BC2" s="6" t="s">
        <v>56</v>
      </c>
      <c r="BD2" s="6" t="s">
        <v>57</v>
      </c>
      <c r="BE2" s="6" t="s">
        <v>58</v>
      </c>
      <c r="BF2" s="6" t="s">
        <v>59</v>
      </c>
      <c r="BG2" s="6" t="s">
        <v>60</v>
      </c>
      <c r="BH2" s="6" t="s">
        <v>61</v>
      </c>
      <c r="BI2" s="7" t="s">
        <v>21</v>
      </c>
      <c r="BJ2" s="7" t="s">
        <v>22</v>
      </c>
      <c r="BK2" s="7" t="s">
        <v>23</v>
      </c>
      <c r="BL2" s="7" t="s">
        <v>24</v>
      </c>
      <c r="BM2" s="7" t="s">
        <v>16</v>
      </c>
      <c r="BN2" s="7" t="s">
        <v>25</v>
      </c>
      <c r="BO2" s="7" t="s">
        <v>26</v>
      </c>
      <c r="BP2" s="7" t="s">
        <v>29</v>
      </c>
      <c r="BQ2" s="7" t="s">
        <v>30</v>
      </c>
      <c r="BR2" s="7" t="s">
        <v>31</v>
      </c>
      <c r="BS2" s="7" t="s">
        <v>62</v>
      </c>
      <c r="BT2" s="7" t="s">
        <v>63</v>
      </c>
      <c r="BU2" s="7" t="s">
        <v>64</v>
      </c>
      <c r="BV2" s="7" t="s">
        <v>65</v>
      </c>
      <c r="BW2" s="7" t="s">
        <v>66</v>
      </c>
      <c r="BX2" s="7" t="s">
        <v>67</v>
      </c>
      <c r="BY2" s="7" t="s">
        <v>68</v>
      </c>
      <c r="BZ2" s="7" t="s">
        <v>69</v>
      </c>
      <c r="CA2" s="7" t="s">
        <v>70</v>
      </c>
      <c r="CB2" s="7" t="s">
        <v>71</v>
      </c>
      <c r="CC2" s="7" t="s">
        <v>72</v>
      </c>
      <c r="CD2" s="7" t="s">
        <v>20</v>
      </c>
    </row>
    <row r="3" customFormat="false" ht="15" hidden="false" customHeight="false" outlineLevel="0" collapsed="false">
      <c r="A3" s="1" t="s">
        <v>73</v>
      </c>
      <c r="B3" s="1" t="s">
        <v>74</v>
      </c>
      <c r="C3" s="1" t="s">
        <v>75</v>
      </c>
      <c r="D3" s="1" t="s">
        <v>75</v>
      </c>
      <c r="E3" s="1" t="s">
        <v>75</v>
      </c>
      <c r="F3" s="1" t="str">
        <f aca="false">CONCATENATE("PERS_",B3,"_",C3,"_",D3,"_C-",E3)</f>
        <v>PERS_Project_1_1_C-1</v>
      </c>
      <c r="G3" s="1" t="s">
        <v>76</v>
      </c>
      <c r="H3" s="1" t="s">
        <v>77</v>
      </c>
      <c r="I3" s="1" t="n">
        <v>0.16</v>
      </c>
      <c r="J3" s="1" t="n">
        <v>6</v>
      </c>
      <c r="K3" s="1" t="n">
        <v>0.16</v>
      </c>
      <c r="L3" s="1" t="s">
        <v>78</v>
      </c>
      <c r="M3" s="1" t="s">
        <v>79</v>
      </c>
      <c r="N3" s="1" t="n">
        <v>90</v>
      </c>
      <c r="O3" s="1" t="n">
        <v>10</v>
      </c>
      <c r="P3" s="1" t="n">
        <v>150</v>
      </c>
      <c r="Q3" s="1" t="n">
        <v>1</v>
      </c>
      <c r="R3" s="1" t="s">
        <v>80</v>
      </c>
      <c r="S3" s="1" t="s">
        <v>81</v>
      </c>
      <c r="T3" s="1" t="s">
        <v>82</v>
      </c>
      <c r="U3" s="1" t="s">
        <v>83</v>
      </c>
      <c r="V3" s="1" t="n">
        <v>15</v>
      </c>
      <c r="W3" s="1" t="s">
        <v>84</v>
      </c>
      <c r="X3" s="1" t="s">
        <v>85</v>
      </c>
      <c r="Y3" s="1" t="s">
        <v>86</v>
      </c>
      <c r="Z3" s="1" t="n">
        <v>0.5</v>
      </c>
      <c r="AA3" s="1" t="n">
        <v>30</v>
      </c>
      <c r="AB3" s="1" t="n">
        <v>23</v>
      </c>
      <c r="AC3" s="1" t="n">
        <v>45</v>
      </c>
      <c r="AD3" s="1" t="n">
        <v>10</v>
      </c>
      <c r="AE3" s="1" t="n">
        <v>100</v>
      </c>
      <c r="AF3" s="1" t="s">
        <v>87</v>
      </c>
      <c r="AG3" s="1" t="n">
        <v>0.25</v>
      </c>
      <c r="AH3" s="1" t="s">
        <v>88</v>
      </c>
      <c r="AI3" s="1" t="n">
        <v>10</v>
      </c>
      <c r="AJ3" s="1" t="n">
        <v>1.5</v>
      </c>
      <c r="AK3" s="1" t="s">
        <v>89</v>
      </c>
      <c r="AL3" s="1" t="s">
        <v>90</v>
      </c>
      <c r="AM3" s="1" t="n">
        <v>1.42</v>
      </c>
      <c r="AN3" s="1" t="s">
        <v>91</v>
      </c>
      <c r="AO3" s="1" t="s">
        <v>92</v>
      </c>
      <c r="AP3" s="1" t="n">
        <v>1.5</v>
      </c>
      <c r="AQ3" s="1" t="s">
        <v>93</v>
      </c>
      <c r="AR3" s="1" t="s">
        <v>94</v>
      </c>
      <c r="AS3" s="1" t="n">
        <v>120</v>
      </c>
      <c r="AT3" s="1" t="n">
        <v>50</v>
      </c>
      <c r="AU3" s="1" t="n">
        <v>34</v>
      </c>
      <c r="AV3" s="1" t="n">
        <v>49</v>
      </c>
      <c r="AW3" s="1" t="n">
        <v>20</v>
      </c>
      <c r="AX3" s="1" t="n">
        <v>22.5</v>
      </c>
      <c r="AY3" s="1" t="s">
        <v>95</v>
      </c>
      <c r="AZ3" s="1" t="n">
        <v>15</v>
      </c>
      <c r="BA3" s="1" t="s">
        <v>96</v>
      </c>
      <c r="BB3" s="1" t="s">
        <v>97</v>
      </c>
      <c r="BC3" s="1" t="n">
        <v>75</v>
      </c>
      <c r="BD3" s="1" t="n">
        <v>50</v>
      </c>
      <c r="BE3" s="1" t="s">
        <v>98</v>
      </c>
      <c r="BF3" s="1" t="n">
        <v>2.5</v>
      </c>
      <c r="BG3" s="1" t="n">
        <v>1.5</v>
      </c>
      <c r="BH3" s="1" t="s">
        <v>99</v>
      </c>
      <c r="BI3" s="1" t="s">
        <v>100</v>
      </c>
      <c r="BJ3" s="1" t="s">
        <v>101</v>
      </c>
      <c r="BK3" s="1" t="s">
        <v>102</v>
      </c>
      <c r="BL3" s="1" t="n">
        <v>25</v>
      </c>
      <c r="BM3" s="1" t="n">
        <v>95</v>
      </c>
      <c r="BN3" s="1" t="s">
        <v>84</v>
      </c>
      <c r="BO3" s="1" t="s">
        <v>103</v>
      </c>
      <c r="BP3" s="1" t="n">
        <v>23</v>
      </c>
      <c r="BQ3" s="1" t="n">
        <v>45</v>
      </c>
      <c r="BR3" s="1" t="n">
        <v>10</v>
      </c>
      <c r="BS3" s="1" t="n">
        <v>90</v>
      </c>
      <c r="BT3" s="8" t="b">
        <f aca="false">TRUE()</f>
        <v>1</v>
      </c>
      <c r="BU3" s="1" t="n">
        <v>1E-006</v>
      </c>
      <c r="BV3" s="1" t="n">
        <v>5E-006</v>
      </c>
      <c r="BW3" s="1" t="n">
        <v>3E-006</v>
      </c>
      <c r="BX3" s="1" t="n">
        <v>150</v>
      </c>
      <c r="BY3" s="1" t="n">
        <v>160</v>
      </c>
      <c r="BZ3" s="1" t="n">
        <v>25</v>
      </c>
      <c r="CA3" s="1" t="n">
        <v>0.5</v>
      </c>
      <c r="CB3" s="1" t="n">
        <v>1</v>
      </c>
      <c r="CC3" s="1" t="n">
        <v>1.5</v>
      </c>
      <c r="CD3" s="9" t="s">
        <v>104</v>
      </c>
    </row>
    <row r="4" customFormat="false" ht="15" hidden="false" customHeight="false" outlineLevel="0" collapsed="false">
      <c r="BT4" s="8"/>
      <c r="CD4" s="9"/>
    </row>
  </sheetData>
  <mergeCells count="3">
    <mergeCell ref="A1:R1"/>
    <mergeCell ref="S1:BH1"/>
    <mergeCell ref="BI1:C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200" zoomScaleNormal="200" zoomScalePageLayoutView="100" workbookViewId="0">
      <selection pane="topLeft" activeCell="A2" activeCellId="0" sqref="A2"/>
    </sheetView>
  </sheetViews>
  <sheetFormatPr defaultColWidth="11.53515625" defaultRowHeight="12.8" zeroHeight="false" outlineLevelRow="0" outlineLevelCol="0"/>
  <sheetData>
    <row r="1" customFormat="false" ht="13.8" hidden="false" customHeight="false" outlineLevel="0" collapsed="false">
      <c r="A1" s="9" t="s">
        <v>105</v>
      </c>
      <c r="B1" s="9" t="s">
        <v>106</v>
      </c>
      <c r="C1" s="9" t="s">
        <v>107</v>
      </c>
      <c r="D1" s="9" t="s">
        <v>108</v>
      </c>
      <c r="E1" s="9" t="s">
        <v>109</v>
      </c>
      <c r="F1" s="9" t="s">
        <v>110</v>
      </c>
      <c r="G1" s="9" t="s">
        <v>111</v>
      </c>
      <c r="H1" s="9" t="s">
        <v>112</v>
      </c>
      <c r="I1" s="9" t="s">
        <v>113</v>
      </c>
      <c r="J1" s="9" t="s">
        <v>114</v>
      </c>
    </row>
    <row r="2" customFormat="false" ht="13.8" hidden="false" customHeight="false" outlineLevel="0" collapsed="false">
      <c r="A2" s="9" t="s">
        <v>91</v>
      </c>
      <c r="B2" s="9" t="s">
        <v>115</v>
      </c>
      <c r="C2" s="9"/>
      <c r="D2" s="9" t="n">
        <v>230</v>
      </c>
      <c r="E2" s="9"/>
      <c r="F2" s="9" t="s">
        <v>116</v>
      </c>
      <c r="G2" s="10" t="n">
        <v>45727</v>
      </c>
      <c r="H2" s="9" t="s">
        <v>117</v>
      </c>
      <c r="I2" s="9" t="s">
        <v>118</v>
      </c>
      <c r="J2" s="9" t="n">
        <v>5</v>
      </c>
    </row>
    <row r="3" customFormat="false" ht="13.8" hidden="false" customHeight="false" outlineLevel="0" collapsed="false">
      <c r="A3" s="9" t="s">
        <v>93</v>
      </c>
      <c r="B3" s="9"/>
      <c r="C3" s="9" t="s">
        <v>119</v>
      </c>
      <c r="D3" s="9" t="n">
        <v>10</v>
      </c>
      <c r="E3" s="9"/>
      <c r="F3" s="9" t="s">
        <v>120</v>
      </c>
      <c r="G3" s="10" t="n">
        <v>45758</v>
      </c>
      <c r="H3" s="9" t="s">
        <v>121</v>
      </c>
      <c r="I3" s="9" t="s">
        <v>122</v>
      </c>
      <c r="J3" s="9" t="n">
        <v>10</v>
      </c>
    </row>
    <row r="4" customFormat="false" ht="13.8" hidden="false" customHeight="false" outlineLevel="0" collapsed="false">
      <c r="A4" s="9" t="s">
        <v>89</v>
      </c>
      <c r="C4" s="9"/>
      <c r="D4" s="9"/>
      <c r="E4" s="9" t="n">
        <v>0.5</v>
      </c>
      <c r="F4" s="9" t="s">
        <v>123</v>
      </c>
      <c r="G4" s="10" t="n">
        <v>45788</v>
      </c>
      <c r="H4" s="9" t="s">
        <v>124</v>
      </c>
      <c r="I4" s="9" t="s">
        <v>125</v>
      </c>
      <c r="J4" s="9" t="n">
        <v>20</v>
      </c>
    </row>
    <row r="5" customFormat="false" ht="13.8" hidden="false" customHeight="false" outlineLevel="0" collapsed="false">
      <c r="A5" s="9" t="s">
        <v>83</v>
      </c>
      <c r="B5" s="9" t="s">
        <v>126</v>
      </c>
      <c r="C5" s="9" t="s">
        <v>127</v>
      </c>
      <c r="D5" s="9" t="n">
        <v>50</v>
      </c>
      <c r="E5" s="9"/>
      <c r="F5" s="10" t="n">
        <v>45881</v>
      </c>
      <c r="G5" s="10" t="n">
        <v>45881</v>
      </c>
      <c r="H5" s="9" t="s">
        <v>128</v>
      </c>
      <c r="I5" s="9" t="s">
        <v>129</v>
      </c>
      <c r="J5" s="9" t="n">
        <v>30</v>
      </c>
    </row>
    <row r="6" customFormat="false" ht="13.8" hidden="false" customHeight="false" outlineLevel="0" collapsed="false">
      <c r="A6" s="9" t="s">
        <v>102</v>
      </c>
      <c r="B6" s="9" t="n">
        <v>90</v>
      </c>
      <c r="E6" s="9" t="n">
        <v>10</v>
      </c>
      <c r="H6" s="9" t="s">
        <v>130</v>
      </c>
      <c r="I6" s="9" t="s">
        <v>131</v>
      </c>
      <c r="J6" s="9" t="n">
        <v>1</v>
      </c>
    </row>
    <row r="7" customFormat="false" ht="13.8" hidden="false" customHeight="false" outlineLevel="0" collapsed="false">
      <c r="A7" s="9" t="s">
        <v>132</v>
      </c>
      <c r="B7" s="9" t="s">
        <v>133</v>
      </c>
      <c r="C7" s="9" t="s">
        <v>134</v>
      </c>
      <c r="F7" s="10" t="n">
        <v>45850</v>
      </c>
      <c r="G7" s="10" t="n">
        <v>45850</v>
      </c>
      <c r="H7" s="9" t="s">
        <v>135</v>
      </c>
      <c r="J7" s="9" t="n">
        <v>40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26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2025-12-12T10:22:15Z</dcterms:created>
  <dc:creator>openpyxl</dc:creator>
  <dc:description/>
  <dc:language>en-US</dc:language>
  <cp:lastModifiedBy/>
  <dcterms:modified xsi:type="dcterms:W3CDTF">2025-12-12T12:14:09Z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